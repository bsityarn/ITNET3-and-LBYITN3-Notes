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 Materials\ITNET03\2025 T2\Project\Phase 2\"/>
    </mc:Choice>
  </mc:AlternateContent>
  <xr:revisionPtr revIDLastSave="0" documentId="13_ncr:1_{D7CCE3A4-09CA-456C-A2C5-6AB1A5BFB446}" xr6:coauthVersionLast="47" xr6:coauthVersionMax="47" xr10:uidLastSave="{00000000-0000-0000-0000-000000000000}"/>
  <bookViews>
    <workbookView xWindow="-103" yWindow="-103" windowWidth="24892" windowHeight="14914" xr2:uid="{BF6D93FF-9039-4AE3-BBD8-9052A61EC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7" i="1" l="1"/>
  <c r="G87" i="1"/>
  <c r="H31" i="1"/>
  <c r="H82" i="1"/>
  <c r="G82" i="1"/>
  <c r="G77" i="1"/>
  <c r="G2" i="1" s="1"/>
  <c r="H77" i="1"/>
  <c r="G72" i="1"/>
  <c r="H72" i="1"/>
  <c r="H61" i="1"/>
  <c r="G61" i="1"/>
  <c r="G54" i="1"/>
  <c r="H54" i="1"/>
  <c r="H40" i="1"/>
  <c r="G40" i="1"/>
  <c r="G31" i="1"/>
  <c r="H17" i="1"/>
  <c r="G17" i="1"/>
  <c r="H2" i="1" l="1"/>
</calcChain>
</file>

<file path=xl/sharedStrings.xml><?xml version="1.0" encoding="utf-8"?>
<sst xmlns="http://schemas.openxmlformats.org/spreadsheetml/2006/main" count="208" uniqueCount="123">
  <si>
    <t>Criteria</t>
  </si>
  <si>
    <t>R</t>
  </si>
  <si>
    <t>Pts</t>
  </si>
  <si>
    <t>Checklist</t>
  </si>
  <si>
    <t>Scalability and IP Addressing</t>
  </si>
  <si>
    <t>B</t>
  </si>
  <si>
    <t>No planning. Points for effort only</t>
  </si>
  <si>
    <t>D</t>
  </si>
  <si>
    <t xml:space="preserve">Use of sufficient network infrastructure devices </t>
  </si>
  <si>
    <t>S</t>
  </si>
  <si>
    <t xml:space="preserve">Use of VLANs to keep number of infrastructure devices used within reasonable limits for the network size </t>
  </si>
  <si>
    <t>Subnet</t>
  </si>
  <si>
    <t>Minimum Mask</t>
  </si>
  <si>
    <t>E</t>
  </si>
  <si>
    <t>Logical topology is hierarchical with well-defined access and distribution/core layers</t>
  </si>
  <si>
    <t>Manageability</t>
  </si>
  <si>
    <t>All devices are configured with hostnames</t>
  </si>
  <si>
    <t>Remote access is enabled and working</t>
  </si>
  <si>
    <t>Address assignment is systematic (e.g. consistent pattern for assigning addresses to routers / switches / server etc.)</t>
  </si>
  <si>
    <t>Efficiency and Performance</t>
  </si>
  <si>
    <t>No planning, several bottlenecks</t>
  </si>
  <si>
    <t>Security</t>
  </si>
  <si>
    <t>SSH is used for remote access instead of Telnet</t>
  </si>
  <si>
    <t>Fault Tolerance</t>
  </si>
  <si>
    <t>No fault tolerance</t>
  </si>
  <si>
    <t>Multiple paths exist between hierarchical layers</t>
  </si>
  <si>
    <t>Redundant devices used on network</t>
  </si>
  <si>
    <t>Intranet Connectivity</t>
  </si>
  <si>
    <t>Incomplete sections. Points for effort only</t>
  </si>
  <si>
    <t>Max</t>
  </si>
  <si>
    <t>Document Mechanics</t>
  </si>
  <si>
    <t>Total Score =</t>
  </si>
  <si>
    <t>Members</t>
  </si>
  <si>
    <t>IP addressing scheme must result in subnets with sufficient capacity:</t>
  </si>
  <si>
    <t>Criterion Score</t>
  </si>
  <si>
    <t>Comments</t>
  </si>
  <si>
    <t>VLANs  are appropriately named in the VLAN database</t>
  </si>
  <si>
    <t>Use of VTP for VLAN consistency</t>
  </si>
  <si>
    <t>Basic housekeeping - login passwords, banners</t>
  </si>
  <si>
    <t>Design Discussion</t>
  </si>
  <si>
    <t>Use of enterprise mode WLAN security</t>
  </si>
  <si>
    <t>Wireless network is secured with passwords</t>
  </si>
  <si>
    <t>Remote logging is enabled and timestamped</t>
  </si>
  <si>
    <t>No ACLs applied, connectivity issues exist</t>
  </si>
  <si>
    <t>255.255.255.192 (/26)</t>
  </si>
  <si>
    <t>255.255.255.224 (/27)</t>
  </si>
  <si>
    <t>Assignment of hostnames is systematic</t>
  </si>
  <si>
    <t>SNMP  is enabled on infrastructure devices</t>
  </si>
  <si>
    <t>Proper usage of static or dynamic address assignment based on host functionality</t>
  </si>
  <si>
    <t>Use of DHCP for address assignment to end devices</t>
  </si>
  <si>
    <t>Use of high bandwidth links  (gigabit or aggregated) for high traffic segments (trunks)</t>
  </si>
  <si>
    <t>Use of Rapid Spanning Tree Protocol</t>
  </si>
  <si>
    <t>Fine tuning of spanning tree configuration -  primary / secondary root at distribution layer</t>
  </si>
  <si>
    <t>Load balancing of VLAN traffic for STP configuration</t>
  </si>
  <si>
    <t>Load balancing of VLAN traffic for HSRP configuration</t>
  </si>
  <si>
    <t>Port security implemented and working</t>
  </si>
  <si>
    <t>Implemented max login attempts and timeouts on VTY lines where supported</t>
  </si>
  <si>
    <t>All active switch ports are set to static access or static trunk mode only (no dynamic auto/desirable)</t>
  </si>
  <si>
    <t>Use of non-default native VLAN on trunk links</t>
  </si>
  <si>
    <t>HSRP Implemented</t>
  </si>
  <si>
    <t>Minimal design discussion - general elements of network design are mentioned</t>
  </si>
  <si>
    <t>Moderate design discussion - a good and generally detailed  description of the network design is provided</t>
  </si>
  <si>
    <t>Excellent design discussion - Design is well described; discussion exhibits good understanding of the technology used and sound justification of design choices</t>
  </si>
  <si>
    <t>Good design discussion - Design is well described and justification is provided for several design choices</t>
  </si>
  <si>
    <t>Complete and comprehensive  details per section</t>
  </si>
  <si>
    <t>Section content is well-organized, neat, and easy to interpret</t>
  </si>
  <si>
    <t>Complete sections and subsections (IP Addressing, Physical Topology, Logical Topology, Password Listing, ACL Matrix, Design discussion)</t>
  </si>
  <si>
    <t>Use of STP portfast on access ports</t>
  </si>
  <si>
    <t>VTP is configured with a password</t>
  </si>
  <si>
    <t>Only Admin PC has remote access to devices CLIs</t>
  </si>
  <si>
    <t>All groups do not have access to Management</t>
  </si>
  <si>
    <t>Wireless hosts can communicate with  wired hosts of the same group and vice versa</t>
  </si>
  <si>
    <t>ITNET03 Project Phase 2 Checklist and Grading Sheet 
School Year 2025-2026 Term 2</t>
  </si>
  <si>
    <t>Students (123)</t>
  </si>
  <si>
    <t>255.255.255.128 (/25)</t>
  </si>
  <si>
    <t>IT (13)</t>
  </si>
  <si>
    <t>Instructors (29)</t>
  </si>
  <si>
    <t>Management (between 15 - 20+)</t>
  </si>
  <si>
    <t>Operations (30)</t>
  </si>
  <si>
    <t>Services (6)</t>
  </si>
  <si>
    <t>255.255.255.248 (/29)</t>
  </si>
  <si>
    <t>Guests (59)</t>
  </si>
  <si>
    <t>Use of NTP for time synchronization among infrastructure devices</t>
  </si>
  <si>
    <t>SNMP access control correctly configured on NMS - Admin RW, IT RO</t>
  </si>
  <si>
    <t>Reasonable number of physical devices used (efficient usage of wirelss APs, access switches / ports)</t>
  </si>
  <si>
    <t>Use of wireless controller and LAPs for centralized management of wireless infrastructure</t>
  </si>
  <si>
    <t>Fine tuning of first hop redundancy configuration - active and standby routers aligned to STP primary / secondary root respectively</t>
  </si>
  <si>
    <t>Use of strong passwords for securing devices (should not be 'cisco', 'class' or any common, easy to guess string)</t>
  </si>
  <si>
    <t>Unused switch ports disabled or assigned to isolation VLAN</t>
  </si>
  <si>
    <t>BPDUGuard is correctly configured on access ports</t>
  </si>
  <si>
    <t>Separate WLAN per user group (Instructors, Operations, IT, Guests)</t>
  </si>
  <si>
    <t>Fully working PVST+ or Rapid-PVST+ (connectivity recovers when access-distribution links are cut)</t>
  </si>
  <si>
    <t>Fully working HSRP (interVLAN connectivity recovers when gateway fails)</t>
  </si>
  <si>
    <t>Presentation / Demo</t>
  </si>
  <si>
    <t>NI</t>
  </si>
  <si>
    <t>Is present for the demo</t>
  </si>
  <si>
    <t>Able to use the necessary commands to demonstrate the features implemented in the project</t>
  </si>
  <si>
    <t>P</t>
  </si>
  <si>
    <t>Able to answer basic questions about the design - i.e. what?</t>
  </si>
  <si>
    <t>Able to justify the design and narrate the implementation process - i.e. how? / why?</t>
  </si>
  <si>
    <t>AITC employees can communicate freely with each other (Faculty, Operations, IT)</t>
  </si>
  <si>
    <t>AITC employees can communicate with printers and the Orion server</t>
  </si>
  <si>
    <t>Students have access to Faculty and IT only</t>
  </si>
  <si>
    <t>Guests have access to IT ony</t>
  </si>
  <si>
    <t>Wireless users have same access rights/restrictions as wired counterparts</t>
  </si>
  <si>
    <t>No ACLs applied, no connectivity issues including communication between wireless hosts</t>
  </si>
  <si>
    <t>Network is properly segmented into subnets according to specs (Students, Instructors, Operations, Guests, IT, Management, Services)</t>
  </si>
  <si>
    <t>Use of VLSM / evidence of minimizing address wastage (justified if classful addressing used)</t>
  </si>
  <si>
    <t>255.255.255.240 (/28)</t>
  </si>
  <si>
    <t>Mary Eunice Griño
Marc Lesley E. Quizon
Jilianne Margareth Riosa
Rafael Emmanuelle Vicuna</t>
  </si>
  <si>
    <t>ok</t>
  </si>
  <si>
    <t>not working on distribution switches - no crypto key</t>
  </si>
  <si>
    <t>misalignment between VLAN roots and active gateways</t>
  </si>
  <si>
    <t>banner and password encryption not configured on distribution switches</t>
  </si>
  <si>
    <t>not implemented on distribution switches</t>
  </si>
  <si>
    <t>Not consistently implemented on access switches</t>
  </si>
  <si>
    <t>Cannot test for wireless</t>
  </si>
  <si>
    <t>using default comm strings on distribution switches</t>
  </si>
  <si>
    <t>timestamps only. Local device buffer logging only</t>
  </si>
  <si>
    <t>assumed correct based on ACL, unable to test</t>
  </si>
  <si>
    <t>not demoed</t>
  </si>
  <si>
    <t>Details missing in Floor plans, port assignment tables, logical topology and device passwords. See document for comments</t>
  </si>
  <si>
    <t>Discussion section is barely updated for phase 2 additions
Phase 1 feedback not addressed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</si>
</sst>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4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7" fillId="3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6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8" borderId="5" xfId="0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0" fillId="3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8" borderId="1" xfId="0" applyFill="1" applyBorder="1" applyAlignment="1">
      <alignment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4" borderId="1" xfId="0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BF25-BCFF-4B7B-86DC-2CA3F2B76ABE}">
  <dimension ref="A1:I87"/>
  <sheetViews>
    <sheetView tabSelected="1" zoomScaleNormal="100" workbookViewId="0">
      <pane ySplit="3" topLeftCell="A72" activePane="bottomLeft" state="frozen"/>
      <selection pane="bottomLeft" activeCell="G80" sqref="G80"/>
    </sheetView>
  </sheetViews>
  <sheetFormatPr defaultRowHeight="14.6" x14ac:dyDescent="0.4"/>
  <cols>
    <col min="1" max="1" width="7.69140625" customWidth="1"/>
    <col min="2" max="2" width="3.765625" customWidth="1"/>
    <col min="3" max="3" width="17.53515625" customWidth="1"/>
    <col min="4" max="4" width="21.53515625" customWidth="1"/>
    <col min="5" max="5" width="21.765625" customWidth="1"/>
    <col min="6" max="6" width="23.765625" customWidth="1"/>
    <col min="7" max="7" width="6.765625" style="5" customWidth="1"/>
    <col min="8" max="8" width="5.765625" style="4" customWidth="1"/>
    <col min="9" max="9" width="50.53515625" customWidth="1"/>
  </cols>
  <sheetData>
    <row r="1" spans="1:9" ht="33" customHeight="1" x14ac:dyDescent="0.4">
      <c r="A1" s="66" t="s">
        <v>72</v>
      </c>
      <c r="B1" s="67"/>
      <c r="C1" s="67"/>
      <c r="D1" s="67"/>
      <c r="E1" s="67"/>
      <c r="F1" s="67"/>
      <c r="G1" s="67"/>
      <c r="H1" s="67"/>
      <c r="I1" s="67"/>
    </row>
    <row r="2" spans="1:9" ht="54.45" customHeight="1" x14ac:dyDescent="0.4">
      <c r="A2" s="69" t="s">
        <v>32</v>
      </c>
      <c r="B2" s="69"/>
      <c r="C2" s="70" t="s">
        <v>109</v>
      </c>
      <c r="D2" s="71"/>
      <c r="E2" s="71"/>
      <c r="F2" s="7" t="s">
        <v>31</v>
      </c>
      <c r="G2" s="8">
        <f>SUM(G17,G31,G40,G54,G61,G72,G77,G82, G87)</f>
        <v>45.75</v>
      </c>
      <c r="H2" s="9">
        <f>SUM(H17,H31,H40,H54,H61,H72,H77,H82, H87)</f>
        <v>52</v>
      </c>
    </row>
    <row r="3" spans="1:9" x14ac:dyDescent="0.4">
      <c r="A3" s="3" t="s">
        <v>0</v>
      </c>
      <c r="B3" s="1" t="s">
        <v>1</v>
      </c>
      <c r="C3" s="68" t="s">
        <v>3</v>
      </c>
      <c r="D3" s="68"/>
      <c r="E3" s="68"/>
      <c r="F3" s="68"/>
      <c r="G3" s="6" t="s">
        <v>2</v>
      </c>
      <c r="H3" s="1" t="s">
        <v>29</v>
      </c>
      <c r="I3" s="1" t="s">
        <v>35</v>
      </c>
    </row>
    <row r="4" spans="1:9" x14ac:dyDescent="0.4">
      <c r="A4" s="36" t="s">
        <v>4</v>
      </c>
      <c r="B4" s="10" t="s">
        <v>5</v>
      </c>
      <c r="C4" s="47" t="s">
        <v>6</v>
      </c>
      <c r="D4" s="47"/>
      <c r="E4" s="47"/>
      <c r="F4" s="47"/>
      <c r="G4" s="11">
        <v>1</v>
      </c>
      <c r="H4" s="10">
        <v>1</v>
      </c>
      <c r="I4" s="30"/>
    </row>
    <row r="5" spans="1:9" x14ac:dyDescent="0.4">
      <c r="A5" s="36"/>
      <c r="B5" s="37" t="s">
        <v>7</v>
      </c>
      <c r="C5" s="47" t="s">
        <v>8</v>
      </c>
      <c r="D5" s="47"/>
      <c r="E5" s="47"/>
      <c r="F5" s="47"/>
      <c r="G5" s="44">
        <v>1</v>
      </c>
      <c r="H5" s="37">
        <v>1</v>
      </c>
      <c r="I5" s="30" t="s">
        <v>110</v>
      </c>
    </row>
    <row r="6" spans="1:9" ht="34.200000000000003" customHeight="1" x14ac:dyDescent="0.4">
      <c r="A6" s="36"/>
      <c r="B6" s="37"/>
      <c r="C6" s="47" t="s">
        <v>106</v>
      </c>
      <c r="D6" s="47"/>
      <c r="E6" s="47"/>
      <c r="F6" s="47"/>
      <c r="G6" s="44"/>
      <c r="H6" s="37"/>
      <c r="I6" s="30" t="s">
        <v>110</v>
      </c>
    </row>
    <row r="7" spans="1:9" ht="14.6" customHeight="1" x14ac:dyDescent="0.4">
      <c r="A7" s="36"/>
      <c r="B7" s="37" t="s">
        <v>9</v>
      </c>
      <c r="C7" s="47" t="s">
        <v>10</v>
      </c>
      <c r="D7" s="47"/>
      <c r="E7" s="47"/>
      <c r="F7" s="47"/>
      <c r="G7" s="44">
        <v>1</v>
      </c>
      <c r="H7" s="37">
        <v>1</v>
      </c>
      <c r="I7" s="30" t="s">
        <v>110</v>
      </c>
    </row>
    <row r="8" spans="1:9" ht="14.4" customHeight="1" x14ac:dyDescent="0.4">
      <c r="A8" s="36"/>
      <c r="B8" s="37"/>
      <c r="C8" s="47" t="s">
        <v>107</v>
      </c>
      <c r="D8" s="47"/>
      <c r="E8" s="47"/>
      <c r="F8" s="47"/>
      <c r="G8" s="44"/>
      <c r="H8" s="37"/>
      <c r="I8" s="30" t="s">
        <v>110</v>
      </c>
    </row>
    <row r="9" spans="1:9" ht="14.6" customHeight="1" x14ac:dyDescent="0.4">
      <c r="A9" s="36"/>
      <c r="B9" s="37"/>
      <c r="C9" s="47" t="s">
        <v>33</v>
      </c>
      <c r="D9" s="47"/>
      <c r="E9" s="47"/>
      <c r="F9" s="47"/>
      <c r="G9" s="44"/>
      <c r="H9" s="37"/>
      <c r="I9" s="88" t="s">
        <v>110</v>
      </c>
    </row>
    <row r="10" spans="1:9" ht="12.65" customHeight="1" x14ac:dyDescent="0.4">
      <c r="A10" s="36"/>
      <c r="B10" s="37"/>
      <c r="C10" s="25" t="s">
        <v>11</v>
      </c>
      <c r="D10" s="25" t="s">
        <v>12</v>
      </c>
      <c r="E10" s="25" t="s">
        <v>11</v>
      </c>
      <c r="F10" s="25" t="s">
        <v>12</v>
      </c>
      <c r="G10" s="44"/>
      <c r="H10" s="37"/>
      <c r="I10" s="89"/>
    </row>
    <row r="11" spans="1:9" ht="18" customHeight="1" x14ac:dyDescent="0.4">
      <c r="A11" s="36"/>
      <c r="B11" s="37"/>
      <c r="C11" s="29" t="s">
        <v>73</v>
      </c>
      <c r="D11" s="29" t="s">
        <v>74</v>
      </c>
      <c r="E11" s="29" t="s">
        <v>75</v>
      </c>
      <c r="F11" s="29" t="s">
        <v>108</v>
      </c>
      <c r="G11" s="44"/>
      <c r="H11" s="37"/>
      <c r="I11" s="89"/>
    </row>
    <row r="12" spans="1:9" ht="25.3" customHeight="1" x14ac:dyDescent="0.4">
      <c r="A12" s="36"/>
      <c r="B12" s="37"/>
      <c r="C12" s="29" t="s">
        <v>76</v>
      </c>
      <c r="D12" s="29" t="s">
        <v>45</v>
      </c>
      <c r="E12" s="29" t="s">
        <v>77</v>
      </c>
      <c r="F12" s="29" t="s">
        <v>45</v>
      </c>
      <c r="G12" s="44"/>
      <c r="H12" s="37"/>
      <c r="I12" s="89"/>
    </row>
    <row r="13" spans="1:9" x14ac:dyDescent="0.4">
      <c r="A13" s="36"/>
      <c r="B13" s="37"/>
      <c r="C13" s="29" t="s">
        <v>78</v>
      </c>
      <c r="D13" s="29" t="s">
        <v>45</v>
      </c>
      <c r="E13" s="29" t="s">
        <v>79</v>
      </c>
      <c r="F13" s="29" t="s">
        <v>80</v>
      </c>
      <c r="G13" s="44"/>
      <c r="H13" s="37"/>
      <c r="I13" s="89"/>
    </row>
    <row r="14" spans="1:9" ht="13.85" customHeight="1" x14ac:dyDescent="0.4">
      <c r="A14" s="36"/>
      <c r="B14" s="37"/>
      <c r="C14" s="29" t="s">
        <v>81</v>
      </c>
      <c r="D14" s="29" t="s">
        <v>44</v>
      </c>
      <c r="E14" s="29"/>
      <c r="F14" s="29"/>
      <c r="G14" s="44"/>
      <c r="H14" s="37"/>
      <c r="I14" s="90"/>
    </row>
    <row r="15" spans="1:9" ht="13.85" customHeight="1" x14ac:dyDescent="0.4">
      <c r="A15" s="36"/>
      <c r="B15" s="84" t="s">
        <v>13</v>
      </c>
      <c r="C15" s="47" t="s">
        <v>14</v>
      </c>
      <c r="D15" s="47"/>
      <c r="E15" s="47"/>
      <c r="F15" s="47"/>
      <c r="G15" s="86">
        <v>1</v>
      </c>
      <c r="H15" s="84">
        <v>1</v>
      </c>
      <c r="I15" s="30" t="s">
        <v>110</v>
      </c>
    </row>
    <row r="16" spans="1:9" ht="14.4" customHeight="1" x14ac:dyDescent="0.4">
      <c r="A16" s="36"/>
      <c r="B16" s="85"/>
      <c r="C16" s="63" t="s">
        <v>84</v>
      </c>
      <c r="D16" s="64"/>
      <c r="E16" s="64"/>
      <c r="F16" s="65"/>
      <c r="G16" s="87"/>
      <c r="H16" s="85"/>
      <c r="I16" s="30" t="s">
        <v>110</v>
      </c>
    </row>
    <row r="17" spans="1:9" ht="14.4" customHeight="1" x14ac:dyDescent="0.4">
      <c r="A17" s="36"/>
      <c r="B17" s="72" t="s">
        <v>34</v>
      </c>
      <c r="C17" s="73"/>
      <c r="D17" s="73"/>
      <c r="E17" s="73"/>
      <c r="F17" s="74"/>
      <c r="G17" s="13">
        <f>SUM(G4:G16)</f>
        <v>4</v>
      </c>
      <c r="H17" s="14">
        <f>SUM(H4:H15)</f>
        <v>4</v>
      </c>
      <c r="I17" s="15"/>
    </row>
    <row r="18" spans="1:9" ht="14.4" customHeight="1" x14ac:dyDescent="0.4">
      <c r="A18" s="60" t="s">
        <v>15</v>
      </c>
      <c r="B18" s="38" t="s">
        <v>5</v>
      </c>
      <c r="C18" s="51" t="s">
        <v>16</v>
      </c>
      <c r="D18" s="51"/>
      <c r="E18" s="51"/>
      <c r="F18" s="51"/>
      <c r="G18" s="41">
        <v>1.75</v>
      </c>
      <c r="H18" s="38">
        <v>2</v>
      </c>
      <c r="I18" s="31" t="s">
        <v>110</v>
      </c>
    </row>
    <row r="19" spans="1:9" ht="14.4" customHeight="1" x14ac:dyDescent="0.4">
      <c r="A19" s="60"/>
      <c r="B19" s="39"/>
      <c r="C19" s="51" t="s">
        <v>17</v>
      </c>
      <c r="D19" s="51"/>
      <c r="E19" s="51"/>
      <c r="F19" s="51"/>
      <c r="G19" s="42"/>
      <c r="H19" s="39"/>
      <c r="I19" s="31" t="s">
        <v>111</v>
      </c>
    </row>
    <row r="20" spans="1:9" ht="14.4" customHeight="1" x14ac:dyDescent="0.4">
      <c r="A20" s="60"/>
      <c r="B20" s="39"/>
      <c r="C20" s="51" t="s">
        <v>46</v>
      </c>
      <c r="D20" s="51"/>
      <c r="E20" s="51"/>
      <c r="F20" s="51"/>
      <c r="G20" s="42"/>
      <c r="H20" s="39"/>
      <c r="I20" s="2" t="s">
        <v>110</v>
      </c>
    </row>
    <row r="21" spans="1:9" ht="14.4" customHeight="1" x14ac:dyDescent="0.4">
      <c r="A21" s="60"/>
      <c r="B21" s="40"/>
      <c r="C21" s="51" t="s">
        <v>36</v>
      </c>
      <c r="D21" s="51"/>
      <c r="E21" s="51"/>
      <c r="F21" s="51"/>
      <c r="G21" s="43"/>
      <c r="H21" s="40"/>
      <c r="I21" s="2" t="s">
        <v>110</v>
      </c>
    </row>
    <row r="22" spans="1:9" ht="14.4" customHeight="1" x14ac:dyDescent="0.4">
      <c r="A22" s="60"/>
      <c r="B22" s="38" t="s">
        <v>7</v>
      </c>
      <c r="C22" s="51" t="s">
        <v>49</v>
      </c>
      <c r="D22" s="51"/>
      <c r="E22" s="51"/>
      <c r="F22" s="51"/>
      <c r="G22" s="41">
        <v>2</v>
      </c>
      <c r="H22" s="38">
        <v>2</v>
      </c>
      <c r="I22" s="2" t="s">
        <v>110</v>
      </c>
    </row>
    <row r="23" spans="1:9" ht="14.4" customHeight="1" x14ac:dyDescent="0.4">
      <c r="A23" s="60"/>
      <c r="B23" s="39"/>
      <c r="C23" s="91" t="s">
        <v>48</v>
      </c>
      <c r="D23" s="92"/>
      <c r="E23" s="92"/>
      <c r="F23" s="93"/>
      <c r="G23" s="42"/>
      <c r="H23" s="39"/>
      <c r="I23" s="2" t="s">
        <v>110</v>
      </c>
    </row>
    <row r="24" spans="1:9" ht="14.4" customHeight="1" x14ac:dyDescent="0.4">
      <c r="A24" s="60"/>
      <c r="B24" s="40"/>
      <c r="C24" s="51" t="s">
        <v>37</v>
      </c>
      <c r="D24" s="51"/>
      <c r="E24" s="51"/>
      <c r="F24" s="51"/>
      <c r="G24" s="43"/>
      <c r="H24" s="40"/>
      <c r="I24" s="2" t="s">
        <v>110</v>
      </c>
    </row>
    <row r="25" spans="1:9" ht="28.2" customHeight="1" x14ac:dyDescent="0.4">
      <c r="A25" s="60"/>
      <c r="B25" s="38" t="s">
        <v>9</v>
      </c>
      <c r="C25" s="51" t="s">
        <v>18</v>
      </c>
      <c r="D25" s="51"/>
      <c r="E25" s="51"/>
      <c r="F25" s="51"/>
      <c r="G25" s="41">
        <v>1.75</v>
      </c>
      <c r="H25" s="38">
        <v>2</v>
      </c>
      <c r="I25" s="2" t="s">
        <v>110</v>
      </c>
    </row>
    <row r="26" spans="1:9" x14ac:dyDescent="0.4">
      <c r="A26" s="60"/>
      <c r="B26" s="39"/>
      <c r="C26" s="51" t="s">
        <v>47</v>
      </c>
      <c r="D26" s="51"/>
      <c r="E26" s="51"/>
      <c r="F26" s="51"/>
      <c r="G26" s="42"/>
      <c r="H26" s="39"/>
      <c r="I26" s="2" t="s">
        <v>110</v>
      </c>
    </row>
    <row r="27" spans="1:9" x14ac:dyDescent="0.4">
      <c r="A27" s="60"/>
      <c r="B27" s="40"/>
      <c r="C27" s="52" t="s">
        <v>42</v>
      </c>
      <c r="D27" s="53"/>
      <c r="E27" s="53"/>
      <c r="F27" s="54"/>
      <c r="G27" s="43"/>
      <c r="H27" s="40"/>
      <c r="I27" s="2" t="s">
        <v>118</v>
      </c>
    </row>
    <row r="28" spans="1:9" x14ac:dyDescent="0.4">
      <c r="A28" s="60"/>
      <c r="B28" s="38" t="s">
        <v>13</v>
      </c>
      <c r="C28" s="52" t="s">
        <v>83</v>
      </c>
      <c r="D28" s="53"/>
      <c r="E28" s="53"/>
      <c r="F28" s="54"/>
      <c r="G28" s="41">
        <v>1.5</v>
      </c>
      <c r="H28" s="38">
        <v>2</v>
      </c>
      <c r="I28" s="2" t="s">
        <v>120</v>
      </c>
    </row>
    <row r="29" spans="1:9" x14ac:dyDescent="0.4">
      <c r="A29" s="60"/>
      <c r="B29" s="39"/>
      <c r="C29" s="51" t="s">
        <v>82</v>
      </c>
      <c r="D29" s="51"/>
      <c r="E29" s="51"/>
      <c r="F29" s="51"/>
      <c r="G29" s="42"/>
      <c r="H29" s="39"/>
      <c r="I29" s="2" t="s">
        <v>110</v>
      </c>
    </row>
    <row r="30" spans="1:9" ht="17.399999999999999" customHeight="1" x14ac:dyDescent="0.4">
      <c r="A30" s="60"/>
      <c r="B30" s="40"/>
      <c r="C30" s="51" t="s">
        <v>85</v>
      </c>
      <c r="D30" s="51"/>
      <c r="E30" s="51"/>
      <c r="F30" s="51"/>
      <c r="G30" s="43"/>
      <c r="H30" s="40"/>
      <c r="I30" s="2" t="s">
        <v>110</v>
      </c>
    </row>
    <row r="31" spans="1:9" ht="14.4" customHeight="1" x14ac:dyDescent="0.4">
      <c r="A31" s="60"/>
      <c r="B31" s="61" t="s">
        <v>34</v>
      </c>
      <c r="C31" s="61"/>
      <c r="D31" s="61"/>
      <c r="E31" s="61"/>
      <c r="F31" s="61"/>
      <c r="G31" s="16">
        <f>SUM(G18:G30)</f>
        <v>7</v>
      </c>
      <c r="H31" s="17">
        <f>SUM(H18:H28)</f>
        <v>8</v>
      </c>
      <c r="I31" s="18"/>
    </row>
    <row r="32" spans="1:9" x14ac:dyDescent="0.4">
      <c r="A32" s="36" t="s">
        <v>19</v>
      </c>
      <c r="B32" s="10" t="s">
        <v>5</v>
      </c>
      <c r="C32" s="47" t="s">
        <v>20</v>
      </c>
      <c r="D32" s="47"/>
      <c r="E32" s="47"/>
      <c r="F32" s="47"/>
      <c r="G32" s="11">
        <v>1</v>
      </c>
      <c r="H32" s="10">
        <v>1</v>
      </c>
      <c r="I32" s="12"/>
    </row>
    <row r="33" spans="1:9" ht="14.4" customHeight="1" x14ac:dyDescent="0.4">
      <c r="A33" s="36"/>
      <c r="B33" s="10" t="s">
        <v>7</v>
      </c>
      <c r="C33" s="47" t="s">
        <v>50</v>
      </c>
      <c r="D33" s="47"/>
      <c r="E33" s="47"/>
      <c r="F33" s="47"/>
      <c r="G33" s="11">
        <v>1</v>
      </c>
      <c r="H33" s="10">
        <v>1</v>
      </c>
      <c r="I33" s="12" t="s">
        <v>110</v>
      </c>
    </row>
    <row r="34" spans="1:9" x14ac:dyDescent="0.4">
      <c r="A34" s="36"/>
      <c r="B34" s="37" t="s">
        <v>9</v>
      </c>
      <c r="C34" s="47" t="s">
        <v>67</v>
      </c>
      <c r="D34" s="47"/>
      <c r="E34" s="47"/>
      <c r="F34" s="47"/>
      <c r="G34" s="44">
        <v>1</v>
      </c>
      <c r="H34" s="37">
        <v>1</v>
      </c>
      <c r="I34" s="30" t="s">
        <v>110</v>
      </c>
    </row>
    <row r="35" spans="1:9" ht="14.4" customHeight="1" x14ac:dyDescent="0.4">
      <c r="A35" s="36"/>
      <c r="B35" s="37"/>
      <c r="C35" s="47" t="s">
        <v>51</v>
      </c>
      <c r="D35" s="47"/>
      <c r="E35" s="47"/>
      <c r="F35" s="47"/>
      <c r="G35" s="44"/>
      <c r="H35" s="37"/>
      <c r="I35" s="30" t="s">
        <v>110</v>
      </c>
    </row>
    <row r="36" spans="1:9" ht="14.4" customHeight="1" x14ac:dyDescent="0.4">
      <c r="A36" s="36"/>
      <c r="B36" s="37" t="s">
        <v>13</v>
      </c>
      <c r="C36" s="47" t="s">
        <v>52</v>
      </c>
      <c r="D36" s="47"/>
      <c r="E36" s="47"/>
      <c r="F36" s="47"/>
      <c r="G36" s="44">
        <v>0.75</v>
      </c>
      <c r="H36" s="37">
        <v>1</v>
      </c>
      <c r="I36" s="30" t="s">
        <v>110</v>
      </c>
    </row>
    <row r="37" spans="1:9" x14ac:dyDescent="0.4">
      <c r="A37" s="36"/>
      <c r="B37" s="37"/>
      <c r="C37" s="63" t="s">
        <v>53</v>
      </c>
      <c r="D37" s="64"/>
      <c r="E37" s="64"/>
      <c r="F37" s="65"/>
      <c r="G37" s="44"/>
      <c r="H37" s="37"/>
      <c r="I37" s="30" t="s">
        <v>110</v>
      </c>
    </row>
    <row r="38" spans="1:9" ht="37.75" customHeight="1" x14ac:dyDescent="0.4">
      <c r="A38" s="36"/>
      <c r="B38" s="37"/>
      <c r="C38" s="47" t="s">
        <v>86</v>
      </c>
      <c r="D38" s="47"/>
      <c r="E38" s="47"/>
      <c r="F38" s="47"/>
      <c r="G38" s="44"/>
      <c r="H38" s="37"/>
      <c r="I38" s="32" t="s">
        <v>112</v>
      </c>
    </row>
    <row r="39" spans="1:9" ht="14.4" customHeight="1" x14ac:dyDescent="0.4">
      <c r="A39" s="36"/>
      <c r="B39" s="37"/>
      <c r="C39" s="47" t="s">
        <v>54</v>
      </c>
      <c r="D39" s="47"/>
      <c r="E39" s="47"/>
      <c r="F39" s="47"/>
      <c r="G39" s="44"/>
      <c r="H39" s="37"/>
      <c r="I39" s="30" t="s">
        <v>110</v>
      </c>
    </row>
    <row r="40" spans="1:9" ht="14.4" customHeight="1" x14ac:dyDescent="0.4">
      <c r="A40" s="36"/>
      <c r="B40" s="62" t="s">
        <v>34</v>
      </c>
      <c r="C40" s="62"/>
      <c r="D40" s="62"/>
      <c r="E40" s="62"/>
      <c r="F40" s="62"/>
      <c r="G40" s="19">
        <f>SUM(G32:G39)</f>
        <v>3.75</v>
      </c>
      <c r="H40" s="20">
        <f>SUM(H32:H39)</f>
        <v>4</v>
      </c>
      <c r="I40" s="21"/>
    </row>
    <row r="41" spans="1:9" ht="29.15" x14ac:dyDescent="0.4">
      <c r="A41" s="60" t="s">
        <v>21</v>
      </c>
      <c r="B41" s="38" t="s">
        <v>5</v>
      </c>
      <c r="C41" s="51" t="s">
        <v>38</v>
      </c>
      <c r="D41" s="51"/>
      <c r="E41" s="51"/>
      <c r="F41" s="51"/>
      <c r="G41" s="41">
        <v>1.5</v>
      </c>
      <c r="H41" s="38">
        <v>2</v>
      </c>
      <c r="I41" s="31" t="s">
        <v>113</v>
      </c>
    </row>
    <row r="42" spans="1:9" x14ac:dyDescent="0.4">
      <c r="A42" s="60"/>
      <c r="B42" s="39"/>
      <c r="C42" s="51" t="s">
        <v>22</v>
      </c>
      <c r="D42" s="51"/>
      <c r="E42" s="51"/>
      <c r="F42" s="51"/>
      <c r="G42" s="42"/>
      <c r="H42" s="39"/>
      <c r="I42" s="31" t="s">
        <v>110</v>
      </c>
    </row>
    <row r="43" spans="1:9" ht="37.75" customHeight="1" x14ac:dyDescent="0.4">
      <c r="A43" s="60"/>
      <c r="B43" s="40"/>
      <c r="C43" s="51" t="s">
        <v>87</v>
      </c>
      <c r="D43" s="51"/>
      <c r="E43" s="51"/>
      <c r="F43" s="51"/>
      <c r="G43" s="43"/>
      <c r="H43" s="40"/>
      <c r="I43" s="31" t="s">
        <v>117</v>
      </c>
    </row>
    <row r="44" spans="1:9" ht="14.4" customHeight="1" x14ac:dyDescent="0.4">
      <c r="A44" s="60"/>
      <c r="B44" s="46" t="s">
        <v>7</v>
      </c>
      <c r="C44" s="52" t="s">
        <v>88</v>
      </c>
      <c r="D44" s="53"/>
      <c r="E44" s="53"/>
      <c r="F44" s="54"/>
      <c r="G44" s="45">
        <v>1.75</v>
      </c>
      <c r="H44" s="46">
        <v>2</v>
      </c>
      <c r="I44" s="31" t="s">
        <v>110</v>
      </c>
    </row>
    <row r="45" spans="1:9" ht="14.4" customHeight="1" x14ac:dyDescent="0.4">
      <c r="A45" s="60"/>
      <c r="B45" s="46"/>
      <c r="C45" s="51" t="s">
        <v>56</v>
      </c>
      <c r="D45" s="51"/>
      <c r="E45" s="51"/>
      <c r="F45" s="51"/>
      <c r="G45" s="45"/>
      <c r="H45" s="46"/>
      <c r="I45" s="31" t="s">
        <v>114</v>
      </c>
    </row>
    <row r="46" spans="1:9" ht="14.4" customHeight="1" x14ac:dyDescent="0.4">
      <c r="A46" s="60"/>
      <c r="B46" s="46"/>
      <c r="C46" s="52" t="s">
        <v>58</v>
      </c>
      <c r="D46" s="53"/>
      <c r="E46" s="53"/>
      <c r="F46" s="54"/>
      <c r="G46" s="45"/>
      <c r="H46" s="46"/>
      <c r="I46" s="31" t="s">
        <v>110</v>
      </c>
    </row>
    <row r="47" spans="1:9" ht="19.850000000000001" customHeight="1" x14ac:dyDescent="0.4">
      <c r="A47" s="60"/>
      <c r="B47" s="46" t="s">
        <v>9</v>
      </c>
      <c r="C47" s="48" t="s">
        <v>57</v>
      </c>
      <c r="D47" s="49"/>
      <c r="E47" s="49"/>
      <c r="F47" s="50"/>
      <c r="G47" s="41">
        <v>1.75</v>
      </c>
      <c r="H47" s="38">
        <v>2</v>
      </c>
      <c r="I47" s="31" t="s">
        <v>110</v>
      </c>
    </row>
    <row r="48" spans="1:9" ht="14.4" customHeight="1" x14ac:dyDescent="0.4">
      <c r="A48" s="60"/>
      <c r="B48" s="46"/>
      <c r="C48" s="51" t="s">
        <v>55</v>
      </c>
      <c r="D48" s="51"/>
      <c r="E48" s="51"/>
      <c r="F48" s="51"/>
      <c r="G48" s="42"/>
      <c r="H48" s="39"/>
      <c r="I48" s="31" t="s">
        <v>115</v>
      </c>
    </row>
    <row r="49" spans="1:9" ht="14.4" customHeight="1" x14ac:dyDescent="0.4">
      <c r="A49" s="60"/>
      <c r="B49" s="46"/>
      <c r="C49" s="52" t="s">
        <v>68</v>
      </c>
      <c r="D49" s="53"/>
      <c r="E49" s="53"/>
      <c r="F49" s="54"/>
      <c r="G49" s="42"/>
      <c r="H49" s="39"/>
      <c r="I49" s="31" t="s">
        <v>110</v>
      </c>
    </row>
    <row r="50" spans="1:9" ht="17.149999999999999" customHeight="1" x14ac:dyDescent="0.4">
      <c r="A50" s="60"/>
      <c r="B50" s="46"/>
      <c r="C50" s="48" t="s">
        <v>41</v>
      </c>
      <c r="D50" s="49"/>
      <c r="E50" s="49"/>
      <c r="F50" s="50"/>
      <c r="G50" s="43"/>
      <c r="H50" s="40"/>
      <c r="I50" s="2" t="s">
        <v>110</v>
      </c>
    </row>
    <row r="51" spans="1:9" ht="14.6" customHeight="1" x14ac:dyDescent="0.4">
      <c r="A51" s="60"/>
      <c r="B51" s="38" t="s">
        <v>13</v>
      </c>
      <c r="C51" s="52" t="s">
        <v>89</v>
      </c>
      <c r="D51" s="53"/>
      <c r="E51" s="53"/>
      <c r="F51" s="54"/>
      <c r="G51" s="41">
        <v>2</v>
      </c>
      <c r="H51" s="38">
        <v>2</v>
      </c>
      <c r="I51" s="2" t="s">
        <v>110</v>
      </c>
    </row>
    <row r="52" spans="1:9" x14ac:dyDescent="0.4">
      <c r="A52" s="60"/>
      <c r="B52" s="39"/>
      <c r="C52" s="52" t="s">
        <v>90</v>
      </c>
      <c r="D52" s="53"/>
      <c r="E52" s="53"/>
      <c r="F52" s="54"/>
      <c r="G52" s="42"/>
      <c r="H52" s="39"/>
      <c r="I52" s="2" t="s">
        <v>110</v>
      </c>
    </row>
    <row r="53" spans="1:9" x14ac:dyDescent="0.4">
      <c r="A53" s="60"/>
      <c r="B53" s="40"/>
      <c r="C53" s="51" t="s">
        <v>40</v>
      </c>
      <c r="D53" s="51"/>
      <c r="E53" s="51"/>
      <c r="F53" s="51"/>
      <c r="G53" s="43"/>
      <c r="H53" s="40"/>
      <c r="I53" s="2" t="s">
        <v>110</v>
      </c>
    </row>
    <row r="54" spans="1:9" ht="14.4" customHeight="1" x14ac:dyDescent="0.4">
      <c r="A54" s="60"/>
      <c r="B54" s="61" t="s">
        <v>34</v>
      </c>
      <c r="C54" s="61"/>
      <c r="D54" s="61"/>
      <c r="E54" s="61"/>
      <c r="F54" s="61"/>
      <c r="G54" s="16">
        <f>SUM(G41:G53)</f>
        <v>7</v>
      </c>
      <c r="H54" s="17">
        <f>SUM(H41:H51)</f>
        <v>8</v>
      </c>
      <c r="I54" s="18"/>
    </row>
    <row r="55" spans="1:9" x14ac:dyDescent="0.4">
      <c r="A55" s="36" t="s">
        <v>23</v>
      </c>
      <c r="B55" s="10" t="s">
        <v>5</v>
      </c>
      <c r="C55" s="47" t="s">
        <v>24</v>
      </c>
      <c r="D55" s="47"/>
      <c r="E55" s="47"/>
      <c r="F55" s="47"/>
      <c r="G55" s="11">
        <v>1</v>
      </c>
      <c r="H55" s="10">
        <v>1</v>
      </c>
      <c r="I55" s="12"/>
    </row>
    <row r="56" spans="1:9" x14ac:dyDescent="0.4">
      <c r="A56" s="36"/>
      <c r="B56" s="37" t="s">
        <v>7</v>
      </c>
      <c r="C56" s="47" t="s">
        <v>25</v>
      </c>
      <c r="D56" s="47"/>
      <c r="E56" s="47"/>
      <c r="F56" s="47"/>
      <c r="G56" s="44">
        <v>1</v>
      </c>
      <c r="H56" s="37">
        <v>1</v>
      </c>
      <c r="I56" s="12" t="s">
        <v>110</v>
      </c>
    </row>
    <row r="57" spans="1:9" x14ac:dyDescent="0.4">
      <c r="A57" s="36"/>
      <c r="B57" s="37"/>
      <c r="C57" s="47" t="s">
        <v>26</v>
      </c>
      <c r="D57" s="47"/>
      <c r="E57" s="47"/>
      <c r="F57" s="47"/>
      <c r="G57" s="44"/>
      <c r="H57" s="37"/>
      <c r="I57" s="12" t="s">
        <v>110</v>
      </c>
    </row>
    <row r="58" spans="1:9" ht="14.6" customHeight="1" x14ac:dyDescent="0.4">
      <c r="A58" s="36"/>
      <c r="B58" s="37" t="s">
        <v>9</v>
      </c>
      <c r="C58" s="47" t="s">
        <v>91</v>
      </c>
      <c r="D58" s="47"/>
      <c r="E58" s="47"/>
      <c r="F58" s="47"/>
      <c r="G58" s="44">
        <v>1</v>
      </c>
      <c r="H58" s="37">
        <v>1</v>
      </c>
      <c r="I58" s="12" t="s">
        <v>110</v>
      </c>
    </row>
    <row r="59" spans="1:9" x14ac:dyDescent="0.4">
      <c r="A59" s="36"/>
      <c r="B59" s="37"/>
      <c r="C59" s="47" t="s">
        <v>59</v>
      </c>
      <c r="D59" s="47"/>
      <c r="E59" s="47"/>
      <c r="F59" s="47"/>
      <c r="G59" s="44"/>
      <c r="H59" s="37"/>
      <c r="I59" s="12" t="s">
        <v>110</v>
      </c>
    </row>
    <row r="60" spans="1:9" ht="14.6" customHeight="1" x14ac:dyDescent="0.4">
      <c r="A60" s="36"/>
      <c r="B60" s="10" t="s">
        <v>13</v>
      </c>
      <c r="C60" s="47" t="s">
        <v>92</v>
      </c>
      <c r="D60" s="47"/>
      <c r="E60" s="47"/>
      <c r="F60" s="47"/>
      <c r="G60" s="11">
        <v>1</v>
      </c>
      <c r="H60" s="10">
        <v>1</v>
      </c>
      <c r="I60" s="12" t="s">
        <v>110</v>
      </c>
    </row>
    <row r="61" spans="1:9" ht="14.4" customHeight="1" x14ac:dyDescent="0.4">
      <c r="A61" s="36"/>
      <c r="B61" s="62" t="s">
        <v>34</v>
      </c>
      <c r="C61" s="62"/>
      <c r="D61" s="62"/>
      <c r="E61" s="62"/>
      <c r="F61" s="62"/>
      <c r="G61" s="19">
        <f>SUM(G55:G60)</f>
        <v>4</v>
      </c>
      <c r="H61" s="20">
        <f>SUM(H55:H60)</f>
        <v>4</v>
      </c>
      <c r="I61" s="21"/>
    </row>
    <row r="62" spans="1:9" ht="14.4" customHeight="1" x14ac:dyDescent="0.4">
      <c r="A62" s="60" t="s">
        <v>27</v>
      </c>
      <c r="B62" s="26" t="s">
        <v>5</v>
      </c>
      <c r="C62" s="55" t="s">
        <v>43</v>
      </c>
      <c r="D62" s="55"/>
      <c r="E62" s="55"/>
      <c r="F62" s="55"/>
      <c r="G62" s="27">
        <v>2</v>
      </c>
      <c r="H62" s="26">
        <v>2</v>
      </c>
      <c r="I62" s="2"/>
    </row>
    <row r="63" spans="1:9" ht="14.4" customHeight="1" x14ac:dyDescent="0.4">
      <c r="A63" s="60"/>
      <c r="B63" s="26" t="s">
        <v>7</v>
      </c>
      <c r="C63" s="55" t="s">
        <v>105</v>
      </c>
      <c r="D63" s="55"/>
      <c r="E63" s="55"/>
      <c r="F63" s="55"/>
      <c r="G63" s="27">
        <v>1.5</v>
      </c>
      <c r="H63" s="26">
        <v>2</v>
      </c>
      <c r="I63" s="2" t="s">
        <v>116</v>
      </c>
    </row>
    <row r="64" spans="1:9" ht="14.4" customHeight="1" x14ac:dyDescent="0.4">
      <c r="A64" s="60"/>
      <c r="B64" s="75" t="s">
        <v>9</v>
      </c>
      <c r="C64" s="56" t="s">
        <v>69</v>
      </c>
      <c r="D64" s="57"/>
      <c r="E64" s="57"/>
      <c r="F64" s="58"/>
      <c r="G64" s="78">
        <v>2</v>
      </c>
      <c r="H64" s="75">
        <v>2</v>
      </c>
      <c r="I64" s="2" t="s">
        <v>110</v>
      </c>
    </row>
    <row r="65" spans="1:9" ht="14.4" customHeight="1" x14ac:dyDescent="0.4">
      <c r="A65" s="60"/>
      <c r="B65" s="76"/>
      <c r="C65" s="81" t="s">
        <v>100</v>
      </c>
      <c r="D65" s="82"/>
      <c r="E65" s="82"/>
      <c r="F65" s="83"/>
      <c r="G65" s="79"/>
      <c r="H65" s="76"/>
      <c r="I65" s="2" t="s">
        <v>110</v>
      </c>
    </row>
    <row r="66" spans="1:9" ht="14.4" customHeight="1" x14ac:dyDescent="0.4">
      <c r="A66" s="60"/>
      <c r="B66" s="76"/>
      <c r="C66" s="56" t="s">
        <v>101</v>
      </c>
      <c r="D66" s="57"/>
      <c r="E66" s="57"/>
      <c r="F66" s="58"/>
      <c r="G66" s="79"/>
      <c r="H66" s="76"/>
      <c r="I66" s="2" t="s">
        <v>110</v>
      </c>
    </row>
    <row r="67" spans="1:9" ht="14.4" customHeight="1" x14ac:dyDescent="0.4">
      <c r="A67" s="60"/>
      <c r="B67" s="76"/>
      <c r="C67" s="56" t="s">
        <v>102</v>
      </c>
      <c r="D67" s="57"/>
      <c r="E67" s="57"/>
      <c r="F67" s="58"/>
      <c r="G67" s="79"/>
      <c r="H67" s="76"/>
      <c r="I67" s="2" t="s">
        <v>110</v>
      </c>
    </row>
    <row r="68" spans="1:9" ht="14.4" customHeight="1" x14ac:dyDescent="0.4">
      <c r="A68" s="60"/>
      <c r="B68" s="75" t="s">
        <v>13</v>
      </c>
      <c r="C68" s="56" t="s">
        <v>103</v>
      </c>
      <c r="D68" s="57"/>
      <c r="E68" s="57"/>
      <c r="F68" s="58"/>
      <c r="G68" s="78">
        <v>1.5</v>
      </c>
      <c r="H68" s="75">
        <v>2</v>
      </c>
      <c r="I68" s="2" t="s">
        <v>110</v>
      </c>
    </row>
    <row r="69" spans="1:9" ht="14.4" customHeight="1" x14ac:dyDescent="0.4">
      <c r="A69" s="60"/>
      <c r="B69" s="76"/>
      <c r="C69" s="56" t="s">
        <v>70</v>
      </c>
      <c r="D69" s="57"/>
      <c r="E69" s="57"/>
      <c r="F69" s="58"/>
      <c r="G69" s="79"/>
      <c r="H69" s="76"/>
      <c r="I69" s="2" t="s">
        <v>110</v>
      </c>
    </row>
    <row r="70" spans="1:9" ht="14.4" customHeight="1" x14ac:dyDescent="0.4">
      <c r="A70" s="60"/>
      <c r="B70" s="76"/>
      <c r="C70" s="56" t="s">
        <v>71</v>
      </c>
      <c r="D70" s="57"/>
      <c r="E70" s="57"/>
      <c r="F70" s="58"/>
      <c r="G70" s="79"/>
      <c r="H70" s="76"/>
      <c r="I70" s="2" t="s">
        <v>119</v>
      </c>
    </row>
    <row r="71" spans="1:9" ht="14.4" customHeight="1" x14ac:dyDescent="0.4">
      <c r="A71" s="60"/>
      <c r="B71" s="77"/>
      <c r="C71" s="56" t="s">
        <v>104</v>
      </c>
      <c r="D71" s="57"/>
      <c r="E71" s="57"/>
      <c r="F71" s="58"/>
      <c r="G71" s="80"/>
      <c r="H71" s="77"/>
      <c r="I71" s="2" t="s">
        <v>119</v>
      </c>
    </row>
    <row r="72" spans="1:9" ht="14.4" customHeight="1" x14ac:dyDescent="0.4">
      <c r="A72" s="60"/>
      <c r="B72" s="59" t="s">
        <v>34</v>
      </c>
      <c r="C72" s="59"/>
      <c r="D72" s="59"/>
      <c r="E72" s="59"/>
      <c r="F72" s="59"/>
      <c r="G72" s="22">
        <f>SUM(G62:G71)</f>
        <v>7</v>
      </c>
      <c r="H72" s="23">
        <f>SUM(H62:H71)</f>
        <v>8</v>
      </c>
      <c r="I72" s="24"/>
    </row>
    <row r="73" spans="1:9" ht="14.4" customHeight="1" x14ac:dyDescent="0.4">
      <c r="A73" s="36" t="s">
        <v>30</v>
      </c>
      <c r="B73" s="10" t="s">
        <v>5</v>
      </c>
      <c r="C73" s="47" t="s">
        <v>28</v>
      </c>
      <c r="D73" s="47"/>
      <c r="E73" s="47"/>
      <c r="F73" s="47"/>
      <c r="G73" s="11">
        <v>1</v>
      </c>
      <c r="H73" s="10">
        <v>1</v>
      </c>
      <c r="I73" s="12"/>
    </row>
    <row r="74" spans="1:9" ht="32.4" customHeight="1" x14ac:dyDescent="0.4">
      <c r="A74" s="36"/>
      <c r="B74" s="10" t="s">
        <v>7</v>
      </c>
      <c r="C74" s="47" t="s">
        <v>66</v>
      </c>
      <c r="D74" s="47"/>
      <c r="E74" s="47"/>
      <c r="F74" s="47"/>
      <c r="G74" s="11">
        <v>1</v>
      </c>
      <c r="H74" s="10">
        <v>1</v>
      </c>
      <c r="I74" s="12"/>
    </row>
    <row r="75" spans="1:9" ht="50.15" customHeight="1" x14ac:dyDescent="0.4">
      <c r="A75" s="36"/>
      <c r="B75" s="10" t="s">
        <v>9</v>
      </c>
      <c r="C75" s="63" t="s">
        <v>64</v>
      </c>
      <c r="D75" s="64"/>
      <c r="E75" s="64"/>
      <c r="F75" s="65"/>
      <c r="G75" s="11">
        <v>0.5</v>
      </c>
      <c r="H75" s="10">
        <v>1</v>
      </c>
      <c r="I75" s="30" t="s">
        <v>121</v>
      </c>
    </row>
    <row r="76" spans="1:9" ht="14.4" customHeight="1" x14ac:dyDescent="0.4">
      <c r="A76" s="36"/>
      <c r="B76" s="10" t="s">
        <v>13</v>
      </c>
      <c r="C76" s="47" t="s">
        <v>65</v>
      </c>
      <c r="D76" s="47"/>
      <c r="E76" s="47"/>
      <c r="F76" s="47"/>
      <c r="G76" s="11">
        <v>1</v>
      </c>
      <c r="H76" s="10">
        <v>1</v>
      </c>
      <c r="I76" s="12"/>
    </row>
    <row r="77" spans="1:9" ht="14.4" customHeight="1" x14ac:dyDescent="0.4">
      <c r="A77" s="36"/>
      <c r="B77" s="59" t="s">
        <v>34</v>
      </c>
      <c r="C77" s="59"/>
      <c r="D77" s="59"/>
      <c r="E77" s="59"/>
      <c r="F77" s="59"/>
      <c r="G77" s="22">
        <f>SUM(G73:G76)</f>
        <v>3.5</v>
      </c>
      <c r="H77" s="23">
        <f>SUM(H73:H76)</f>
        <v>4</v>
      </c>
      <c r="I77" s="24"/>
    </row>
    <row r="78" spans="1:9" x14ac:dyDescent="0.4">
      <c r="A78" s="95" t="s">
        <v>39</v>
      </c>
      <c r="B78" s="26" t="s">
        <v>5</v>
      </c>
      <c r="C78" s="55" t="s">
        <v>60</v>
      </c>
      <c r="D78" s="55"/>
      <c r="E78" s="55"/>
      <c r="F78" s="55"/>
      <c r="G78" s="27">
        <v>2</v>
      </c>
      <c r="H78" s="26">
        <v>2</v>
      </c>
      <c r="I78" s="28"/>
    </row>
    <row r="79" spans="1:9" ht="30" customHeight="1" x14ac:dyDescent="0.4">
      <c r="A79" s="95"/>
      <c r="B79" s="26" t="s">
        <v>7</v>
      </c>
      <c r="C79" s="55" t="s">
        <v>61</v>
      </c>
      <c r="D79" s="55"/>
      <c r="E79" s="55"/>
      <c r="F79" s="55"/>
      <c r="G79" s="27">
        <v>1.5</v>
      </c>
      <c r="H79" s="26">
        <v>2</v>
      </c>
      <c r="I79" s="33" t="s">
        <v>122</v>
      </c>
    </row>
    <row r="80" spans="1:9" ht="39.450000000000003" customHeight="1" x14ac:dyDescent="0.4">
      <c r="A80" s="95"/>
      <c r="B80" s="26" t="s">
        <v>9</v>
      </c>
      <c r="C80" s="55" t="s">
        <v>63</v>
      </c>
      <c r="D80" s="55"/>
      <c r="E80" s="55"/>
      <c r="F80" s="55"/>
      <c r="G80" s="27">
        <v>1</v>
      </c>
      <c r="H80" s="26">
        <v>2</v>
      </c>
      <c r="I80" s="34"/>
    </row>
    <row r="81" spans="1:9" ht="34.200000000000003" customHeight="1" x14ac:dyDescent="0.4">
      <c r="A81" s="95"/>
      <c r="B81" s="26" t="s">
        <v>13</v>
      </c>
      <c r="C81" s="55" t="s">
        <v>62</v>
      </c>
      <c r="D81" s="55"/>
      <c r="E81" s="55"/>
      <c r="F81" s="55"/>
      <c r="G81" s="27">
        <v>1</v>
      </c>
      <c r="H81" s="26">
        <v>2</v>
      </c>
      <c r="I81" s="35"/>
    </row>
    <row r="82" spans="1:9" ht="14.4" customHeight="1" x14ac:dyDescent="0.4">
      <c r="A82" s="95"/>
      <c r="B82" s="62" t="s">
        <v>34</v>
      </c>
      <c r="C82" s="62"/>
      <c r="D82" s="62"/>
      <c r="E82" s="62"/>
      <c r="F82" s="62"/>
      <c r="G82" s="19">
        <f>SUM(G78:G81)</f>
        <v>5.5</v>
      </c>
      <c r="H82" s="20">
        <f>SUM(H78:H81)</f>
        <v>8</v>
      </c>
      <c r="I82" s="21"/>
    </row>
    <row r="83" spans="1:9" x14ac:dyDescent="0.4">
      <c r="A83" s="36" t="s">
        <v>93</v>
      </c>
      <c r="B83" s="10" t="s">
        <v>94</v>
      </c>
      <c r="C83" s="47" t="s">
        <v>95</v>
      </c>
      <c r="D83" s="47"/>
      <c r="E83" s="47"/>
      <c r="F83" s="47"/>
      <c r="G83" s="11">
        <v>1</v>
      </c>
      <c r="H83" s="10">
        <v>1</v>
      </c>
      <c r="I83" s="12"/>
    </row>
    <row r="84" spans="1:9" x14ac:dyDescent="0.4">
      <c r="A84" s="36"/>
      <c r="B84" s="10" t="s">
        <v>7</v>
      </c>
      <c r="C84" s="47" t="s">
        <v>96</v>
      </c>
      <c r="D84" s="47"/>
      <c r="E84" s="47"/>
      <c r="F84" s="47"/>
      <c r="G84" s="11">
        <v>1</v>
      </c>
      <c r="H84" s="10">
        <v>1</v>
      </c>
      <c r="I84" s="12"/>
    </row>
    <row r="85" spans="1:9" x14ac:dyDescent="0.4">
      <c r="A85" s="36"/>
      <c r="B85" s="10" t="s">
        <v>97</v>
      </c>
      <c r="C85" s="47" t="s">
        <v>98</v>
      </c>
      <c r="D85" s="47"/>
      <c r="E85" s="47"/>
      <c r="F85" s="47"/>
      <c r="G85" s="11">
        <v>1</v>
      </c>
      <c r="H85" s="10">
        <v>1</v>
      </c>
      <c r="I85" s="12"/>
    </row>
    <row r="86" spans="1:9" x14ac:dyDescent="0.4">
      <c r="A86" s="36"/>
      <c r="B86" s="10" t="s">
        <v>13</v>
      </c>
      <c r="C86" s="47" t="s">
        <v>99</v>
      </c>
      <c r="D86" s="47"/>
      <c r="E86" s="47"/>
      <c r="F86" s="47"/>
      <c r="G86" s="11">
        <v>1</v>
      </c>
      <c r="H86" s="10">
        <v>1</v>
      </c>
      <c r="I86" s="12"/>
    </row>
    <row r="87" spans="1:9" x14ac:dyDescent="0.4">
      <c r="A87" s="36"/>
      <c r="B87" s="94" t="s">
        <v>34</v>
      </c>
      <c r="C87" s="94"/>
      <c r="D87" s="94"/>
      <c r="E87" s="94"/>
      <c r="F87" s="94"/>
      <c r="G87" s="13">
        <f>SUM(G83:G86)</f>
        <v>4</v>
      </c>
      <c r="H87" s="14">
        <f>SUM(H83:H86)</f>
        <v>4</v>
      </c>
      <c r="I87" s="15"/>
    </row>
  </sheetData>
  <mergeCells count="145">
    <mergeCell ref="A83:A87"/>
    <mergeCell ref="C83:F83"/>
    <mergeCell ref="C84:F84"/>
    <mergeCell ref="C85:F85"/>
    <mergeCell ref="C86:F86"/>
    <mergeCell ref="B87:F87"/>
    <mergeCell ref="C66:F66"/>
    <mergeCell ref="C69:F69"/>
    <mergeCell ref="C67:F67"/>
    <mergeCell ref="A73:A77"/>
    <mergeCell ref="B77:F77"/>
    <mergeCell ref="A78:A82"/>
    <mergeCell ref="B82:F82"/>
    <mergeCell ref="B64:B67"/>
    <mergeCell ref="C64:F64"/>
    <mergeCell ref="C81:F81"/>
    <mergeCell ref="C79:F79"/>
    <mergeCell ref="C80:F80"/>
    <mergeCell ref="C78:F78"/>
    <mergeCell ref="C75:F75"/>
    <mergeCell ref="C76:F76"/>
    <mergeCell ref="C73:F73"/>
    <mergeCell ref="C74:F74"/>
    <mergeCell ref="A62:A72"/>
    <mergeCell ref="C16:F16"/>
    <mergeCell ref="B15:B16"/>
    <mergeCell ref="G15:G16"/>
    <mergeCell ref="H15:H16"/>
    <mergeCell ref="I9:I14"/>
    <mergeCell ref="C20:F20"/>
    <mergeCell ref="C7:F7"/>
    <mergeCell ref="C18:F18"/>
    <mergeCell ref="C23:F23"/>
    <mergeCell ref="C22:F22"/>
    <mergeCell ref="H25:H27"/>
    <mergeCell ref="H28:H30"/>
    <mergeCell ref="G25:G27"/>
    <mergeCell ref="G28:G30"/>
    <mergeCell ref="G34:G35"/>
    <mergeCell ref="C26:F26"/>
    <mergeCell ref="C32:F32"/>
    <mergeCell ref="H64:H67"/>
    <mergeCell ref="B68:B71"/>
    <mergeCell ref="G68:G71"/>
    <mergeCell ref="H68:H71"/>
    <mergeCell ref="C70:F70"/>
    <mergeCell ref="H56:H57"/>
    <mergeCell ref="H58:H59"/>
    <mergeCell ref="G56:G57"/>
    <mergeCell ref="G58:G59"/>
    <mergeCell ref="C58:F58"/>
    <mergeCell ref="C60:F60"/>
    <mergeCell ref="C59:F59"/>
    <mergeCell ref="C65:F65"/>
    <mergeCell ref="G64:G67"/>
    <mergeCell ref="C33:F33"/>
    <mergeCell ref="C35:F35"/>
    <mergeCell ref="B54:F54"/>
    <mergeCell ref="A1:I1"/>
    <mergeCell ref="C3:F3"/>
    <mergeCell ref="A2:B2"/>
    <mergeCell ref="C2:E2"/>
    <mergeCell ref="C24:F24"/>
    <mergeCell ref="G18:G21"/>
    <mergeCell ref="H18:H21"/>
    <mergeCell ref="H22:H24"/>
    <mergeCell ref="H7:H14"/>
    <mergeCell ref="A4:A17"/>
    <mergeCell ref="B5:B6"/>
    <mergeCell ref="B7:B14"/>
    <mergeCell ref="C9:F9"/>
    <mergeCell ref="G5:G6"/>
    <mergeCell ref="G7:G14"/>
    <mergeCell ref="G22:G24"/>
    <mergeCell ref="C4:F4"/>
    <mergeCell ref="C5:F5"/>
    <mergeCell ref="H5:H6"/>
    <mergeCell ref="B17:F17"/>
    <mergeCell ref="C19:F19"/>
    <mergeCell ref="C6:F6"/>
    <mergeCell ref="C8:F8"/>
    <mergeCell ref="C15:F15"/>
    <mergeCell ref="B61:F61"/>
    <mergeCell ref="A41:A54"/>
    <mergeCell ref="B44:B46"/>
    <mergeCell ref="B47:B50"/>
    <mergeCell ref="C53:F53"/>
    <mergeCell ref="C55:F55"/>
    <mergeCell ref="C56:F56"/>
    <mergeCell ref="C57:F57"/>
    <mergeCell ref="C46:F46"/>
    <mergeCell ref="C41:F41"/>
    <mergeCell ref="C51:F51"/>
    <mergeCell ref="B41:B43"/>
    <mergeCell ref="B51:B53"/>
    <mergeCell ref="C44:F44"/>
    <mergeCell ref="C45:F45"/>
    <mergeCell ref="C62:F62"/>
    <mergeCell ref="B72:F72"/>
    <mergeCell ref="C43:F43"/>
    <mergeCell ref="C42:F42"/>
    <mergeCell ref="A18:A31"/>
    <mergeCell ref="C30:F30"/>
    <mergeCell ref="B31:F31"/>
    <mergeCell ref="B18:B21"/>
    <mergeCell ref="C28:F28"/>
    <mergeCell ref="B28:B30"/>
    <mergeCell ref="B25:B27"/>
    <mergeCell ref="C21:F21"/>
    <mergeCell ref="B40:F40"/>
    <mergeCell ref="B22:B24"/>
    <mergeCell ref="C25:F25"/>
    <mergeCell ref="C27:F27"/>
    <mergeCell ref="C37:F37"/>
    <mergeCell ref="C38:F38"/>
    <mergeCell ref="C36:F36"/>
    <mergeCell ref="C39:F39"/>
    <mergeCell ref="C29:F29"/>
    <mergeCell ref="A55:A61"/>
    <mergeCell ref="B56:B57"/>
    <mergeCell ref="B58:B59"/>
    <mergeCell ref="I79:I81"/>
    <mergeCell ref="A32:A40"/>
    <mergeCell ref="B34:B35"/>
    <mergeCell ref="B36:B39"/>
    <mergeCell ref="H41:H43"/>
    <mergeCell ref="H51:H53"/>
    <mergeCell ref="G51:G53"/>
    <mergeCell ref="H34:H35"/>
    <mergeCell ref="H36:H39"/>
    <mergeCell ref="G36:G39"/>
    <mergeCell ref="G44:G46"/>
    <mergeCell ref="H44:H46"/>
    <mergeCell ref="C34:F34"/>
    <mergeCell ref="G41:G43"/>
    <mergeCell ref="C47:F47"/>
    <mergeCell ref="C48:F48"/>
    <mergeCell ref="C50:F50"/>
    <mergeCell ref="C52:F52"/>
    <mergeCell ref="C49:F49"/>
    <mergeCell ref="H47:H50"/>
    <mergeCell ref="G47:G50"/>
    <mergeCell ref="C63:F63"/>
    <mergeCell ref="C68:F68"/>
    <mergeCell ref="C71:F7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Arlyn</dc:creator>
  <cp:lastModifiedBy>Arlyn Verina  O. Tiu</cp:lastModifiedBy>
  <dcterms:created xsi:type="dcterms:W3CDTF">2020-04-20T01:31:23Z</dcterms:created>
  <dcterms:modified xsi:type="dcterms:W3CDTF">2026-04-11T14:25:40Z</dcterms:modified>
</cp:coreProperties>
</file>